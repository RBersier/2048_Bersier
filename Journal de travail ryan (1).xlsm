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filterPrivacy="1" codeName="ThisWorkbook" hidePivotFieldList="1" defaultThemeVersion="164011"/>
  <bookViews>
    <workbookView xWindow="12705" yWindow="0" windowWidth="12975" windowHeight="13770"/>
  </bookViews>
  <sheets>
    <sheet name="Journal" sheetId="1" r:id="rId1"/>
    <sheet name="Totaux" sheetId="4" r:id="rId2"/>
    <sheet name="Paramètres" sheetId="2" r:id="rId3"/>
  </sheets>
  <definedNames>
    <definedName name="base">Journal!$A$6</definedName>
  </definedName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5" i="1" l="1"/>
  <c r="A7" i="1"/>
  <c r="E7" i="1"/>
  <c r="B7" i="1"/>
  <c r="E8" i="1"/>
  <c r="A8" i="1"/>
  <c r="B8" i="1"/>
  <c r="E9" i="1" l="1"/>
  <c r="A9" i="1"/>
  <c r="B9" i="1" s="1"/>
  <c r="A10" i="1"/>
  <c r="B10" i="1" s="1"/>
  <c r="E10" i="1"/>
  <c r="A11" i="1"/>
  <c r="E11" i="1"/>
  <c r="B11" i="1"/>
  <c r="A12" i="1"/>
  <c r="B12" i="1" s="1"/>
  <c r="E12" i="1"/>
  <c r="A13" i="1"/>
  <c r="B13" i="1" s="1"/>
  <c r="E13" i="1"/>
  <c r="A14" i="1"/>
  <c r="B14" i="1" s="1"/>
  <c r="E14" i="1"/>
  <c r="A15" i="1"/>
  <c r="B15" i="1" s="1"/>
  <c r="E15" i="1"/>
  <c r="A16" i="1"/>
  <c r="B16" i="1" s="1"/>
  <c r="E16" i="1"/>
  <c r="E17" i="1" l="1"/>
  <c r="A17" i="1"/>
  <c r="B17" i="1" s="1"/>
  <c r="A18" i="1"/>
  <c r="E18" i="1" l="1"/>
  <c r="B18" i="1"/>
  <c r="A19" i="1"/>
  <c r="B19" i="1" s="1"/>
  <c r="E19" i="1"/>
  <c r="A20" i="1" l="1"/>
  <c r="B20" i="1" s="1"/>
  <c r="E20" i="1"/>
  <c r="A21" i="1"/>
  <c r="E21" i="1"/>
  <c r="B21" i="1"/>
  <c r="E22" i="1"/>
  <c r="A22" i="1"/>
  <c r="B22" i="1"/>
  <c r="A23" i="1" l="1"/>
  <c r="B23" i="1" s="1"/>
  <c r="E23" i="1"/>
  <c r="A24" i="1"/>
  <c r="B24" i="1" s="1"/>
  <c r="E24" i="1"/>
  <c r="E25" i="1" l="1"/>
  <c r="A25" i="1"/>
  <c r="B25" i="1" s="1"/>
  <c r="A26" i="1" l="1"/>
  <c r="B26" i="1" s="1"/>
  <c r="E26" i="1"/>
  <c r="A27" i="1"/>
  <c r="B27" i="1" s="1"/>
  <c r="E27" i="1"/>
  <c r="E28" i="1" l="1"/>
  <c r="A28" i="1"/>
  <c r="B28" i="1" s="1"/>
  <c r="E29" i="1"/>
  <c r="A29" i="1"/>
  <c r="B29" i="1" s="1"/>
  <c r="A30" i="1"/>
  <c r="B30" i="1" s="1"/>
  <c r="A31" i="1"/>
  <c r="B31" i="1" s="1"/>
  <c r="E30" i="1"/>
  <c r="E31" i="1"/>
  <c r="A32" i="1"/>
  <c r="B32" i="1" s="1"/>
  <c r="E32" i="1"/>
  <c r="A33" i="1"/>
  <c r="E33" i="1"/>
  <c r="B33" i="1"/>
  <c r="A34" i="1"/>
  <c r="B34" i="1" s="1"/>
  <c r="A35" i="1"/>
  <c r="B35" i="1" s="1"/>
  <c r="E34" i="1"/>
  <c r="E35" i="1"/>
  <c r="A36" i="1" l="1"/>
  <c r="B36" i="1" s="1"/>
  <c r="E36" i="1"/>
  <c r="A37" i="1" l="1"/>
  <c r="B37" i="1" s="1"/>
  <c r="E37" i="1"/>
  <c r="A38" i="1" l="1"/>
  <c r="B38" i="1" s="1"/>
  <c r="E38" i="1"/>
  <c r="A39" i="1"/>
  <c r="B39" i="1" s="1"/>
  <c r="E39" i="1"/>
  <c r="E45" i="1"/>
  <c r="A41" i="1"/>
  <c r="B41" i="1" s="1"/>
  <c r="A40" i="1"/>
  <c r="B40" i="1" s="1"/>
  <c r="E40" i="1"/>
  <c r="E41" i="1"/>
  <c r="A43" i="1"/>
  <c r="B43" i="1" s="1"/>
  <c r="A42" i="1"/>
  <c r="B42" i="1" s="1"/>
  <c r="E42" i="1"/>
  <c r="E43" i="1"/>
  <c r="A44" i="1"/>
  <c r="B44" i="1" s="1"/>
  <c r="E44" i="1"/>
  <c r="A45" i="1"/>
  <c r="B45" i="1" s="1"/>
  <c r="A46" i="1"/>
  <c r="B46" i="1" s="1"/>
  <c r="E46" i="1"/>
  <c r="E48" i="1"/>
  <c r="A48" i="1"/>
  <c r="B48" i="1" s="1"/>
  <c r="A47" i="1"/>
  <c r="B47" i="1" s="1"/>
  <c r="E47" i="1"/>
  <c r="A49" i="1"/>
  <c r="B49" i="1" s="1"/>
  <c r="E50" i="1"/>
  <c r="E49" i="1"/>
  <c r="A50" i="1"/>
  <c r="B50" i="1" s="1"/>
</calcChain>
</file>

<file path=xl/sharedStrings.xml><?xml version="1.0" encoding="utf-8"?>
<sst xmlns="http://schemas.openxmlformats.org/spreadsheetml/2006/main" count="134" uniqueCount="85">
  <si>
    <t>Description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</si>
  <si>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</si>
  <si>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</si>
  <si>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</si>
  <si>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</si>
  <si>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</si>
  <si>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</si>
  <si>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</si>
  <si>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</si>
  <si>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</si>
  <si>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</si>
  <si>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</si>
  <si>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</si>
  <si>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Remarques/problèmes/déductions</t>
  </si>
  <si>
    <t>debut</t>
  </si>
  <si>
    <t>fin</t>
  </si>
  <si>
    <t>création du journal de projet</t>
  </si>
  <si>
    <t>A repredre l'après-midi</t>
  </si>
  <si>
    <t>création de la fênetre du jeu (visualisation de la grille)</t>
  </si>
  <si>
    <t>création de la fênetre du jeu (fin du travail matinal + sectionnement de la fenêtre)</t>
  </si>
  <si>
    <t>choisir et selectionner les couleurs pour chaque nombres</t>
  </si>
  <si>
    <t>ne pas oublier de remplir les labels pour faire apparaître les Frames correctement et à completer le bouton "recommencer" plus tard ainsi que la Frame "assists"</t>
  </si>
  <si>
    <t>PROJET: jeu 2048</t>
  </si>
  <si>
    <t>création des stories</t>
  </si>
  <si>
    <t>création du sprint</t>
  </si>
  <si>
    <t>suite des choix de couleurs</t>
  </si>
  <si>
    <t>Réalisé par: Bersier Ryan</t>
  </si>
  <si>
    <t>comment stacker les case identique</t>
  </si>
  <si>
    <t>remplir le rapport du projet jusqu'à 2.2</t>
  </si>
  <si>
    <t>Classe:SI-C1A</t>
  </si>
  <si>
    <t xml:space="preserve">Explication de madame Andolfatto sur la fonction de tassage à utilisé </t>
  </si>
  <si>
    <t>Création du Sprint 2 + création des tests</t>
  </si>
  <si>
    <t>attention 17 mars fin</t>
  </si>
  <si>
    <t>Heure totale :</t>
  </si>
  <si>
    <t>remplir le rapport du projet jusqu'à 2.3</t>
  </si>
  <si>
    <t>Code sur le tassement</t>
  </si>
  <si>
    <t xml:space="preserve">Recherche et tentative autoure de la dététion d'appuie de touche </t>
  </si>
  <si>
    <t>Recherche pour faire d'autre côté que le gauche</t>
  </si>
  <si>
    <t>Cours sur l'importance des brainstorming et la priorisation des idées</t>
  </si>
  <si>
    <t>Explication de madame Andolfatto sur ce qui est attendu pour le Sprint 2</t>
  </si>
  <si>
    <t>completer tout le §3 du rapport de projet</t>
  </si>
  <si>
    <t>rapport de projet §3, §4 et §6 / Etape 3 et 4  du cahier des charges / création d'un github / Completer tout  les tests de Icescum / Commentaire et entête</t>
  </si>
  <si>
    <t>ajout du tassement droite et piste pour le tassement du haut</t>
  </si>
  <si>
    <t>aide de Brad pour la fonction</t>
  </si>
  <si>
    <t>création du github pour le 2048</t>
  </si>
  <si>
    <t>ajout des commentaires</t>
  </si>
  <si>
    <t>aide Zackarie et Xavier</t>
  </si>
  <si>
    <t>fin d'ajout de la fonction pour le haut et le bas</t>
  </si>
  <si>
    <t>ajout du score</t>
  </si>
  <si>
    <t>ajout de la partie graphique du programme et du bouton</t>
  </si>
  <si>
    <t>implémenter la fonctionnalité du bouton</t>
  </si>
  <si>
    <t>ajout du highscore + highscore en temps direct</t>
  </si>
  <si>
    <t>Remplissage du rapport de projet pour fin de sprint 2 + cloturation spint 2</t>
  </si>
  <si>
    <t>pseudo code sur la génération random des 2 et 4</t>
  </si>
  <si>
    <t>Problème trop proche de code à réadapté</t>
  </si>
  <si>
    <t>Attention que le code ne se répète pas</t>
  </si>
  <si>
    <t>planification du sprint 3 (story et test)</t>
  </si>
  <si>
    <t>Attention fin le 06 avril 2023</t>
  </si>
  <si>
    <t>commence la génération aléatoire des puissance de 2</t>
  </si>
  <si>
    <t>à continuer</t>
  </si>
  <si>
    <t>ajout de la fonction de reset pour le bouton restart</t>
  </si>
  <si>
    <t>attention à l'avenir les label ne doivent se generer qu'une seule fois (pad de refresh)</t>
  </si>
  <si>
    <t>ajout de l'apparition de 2 et de 4</t>
  </si>
  <si>
    <t>attention à l'avenir de mettre une condition pour ressortir de la boucle si aucune case libre</t>
  </si>
  <si>
    <t>Plan de travail sur Grantt Project</t>
  </si>
  <si>
    <t>normalement le plan de travail doit être effectuer en début de projet il a été réalisé ici pour question d'apprentissage</t>
  </si>
  <si>
    <t>travail sur la fonction de win</t>
  </si>
  <si>
    <t xml:space="preserve">à continuer bug qui fait quitter le programme entier au moment de la win </t>
  </si>
  <si>
    <t>fin de la fonction win</t>
  </si>
  <si>
    <t xml:space="preserve">aide de Mme. Andolfatto attention quand on utilise Tkinter il est mieux d'utiliser la commande .destroy() que quit() </t>
  </si>
  <si>
    <t>ajout de la fonction pour checker les mouvement</t>
  </si>
  <si>
    <t>ajout de la fonction perdu</t>
  </si>
  <si>
    <t>Bug les boutons de la messagebox ne marche pas</t>
  </si>
  <si>
    <t>correction du bug qui faisait que la fonction d'ajout de 2 et 4 voulait ajouté des 2 ou 4 alors que la grille étais pleine</t>
  </si>
  <si>
    <t>Correction d'un bug majeur qui faisait crash le 2048</t>
  </si>
  <si>
    <t>Correction du fonctionnement de la message box de la fonction perdu</t>
  </si>
  <si>
    <t>attention les messagebox.askquestions ne réagisse pas à "Yes" mais réagisse a "yes" (problème de majuscule)</t>
  </si>
  <si>
    <t>ajout de quelques commentaires</t>
  </si>
  <si>
    <t>attention à ajouté petit à petit si fonctionne pour pas devoir ajouté beaucoup en même temps</t>
  </si>
  <si>
    <t>commence a remplire le rapport de projet pour la cloturation du sprint3</t>
  </si>
  <si>
    <t>a finir §5 et §6.2</t>
  </si>
  <si>
    <t>ajout du fait que les 2 et les 4 n'apparaisse que si la grille a vraiment bouger pareille pour les mouvement</t>
  </si>
  <si>
    <t>aide de brad il fallait utilisé une grille temporaire mais avant mouvement pour reussire</t>
  </si>
  <si>
    <t>projet terminé prêt a être rendu et cloturé le sprint 3</t>
  </si>
  <si>
    <t>fin de documentation (conclusion)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</si>
</sst>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hh/mm&quot; h&quot;;@"/>
    <numFmt numFmtId="165" formatCode="[h]/mm&quot; h&quot;"/>
  </numFmts>
  <fonts count="6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20"/>
      <name val="Tahoma"/>
      <family val="2"/>
    </font>
    <font>
      <sz val="11"/>
      <name val="Tahoma"/>
      <family val="2"/>
    </font>
    <font>
      <sz val="12"/>
      <color rgb="FF000000"/>
      <name val="Helvetica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horizontal="left"/>
    </xf>
    <xf numFmtId="1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 vertical="center" wrapText="1"/>
    </xf>
    <xf numFmtId="164" fontId="0" fillId="0" borderId="1" xfId="0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14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164" fontId="0" fillId="0" borderId="0" xfId="0" applyNumberFormat="1" applyAlignment="1">
      <alignment horizontal="center" vertical="center" wrapText="1"/>
    </xf>
    <xf numFmtId="14" fontId="0" fillId="3" borderId="1" xfId="0" applyNumberFormat="1" applyFill="1" applyBorder="1" applyAlignment="1">
      <alignment horizontal="center" vertical="center" wrapText="1"/>
    </xf>
    <xf numFmtId="14" fontId="0" fillId="4" borderId="1" xfId="0" applyNumberFormat="1" applyFill="1" applyBorder="1" applyAlignment="1">
      <alignment horizontal="center" vertical="center" wrapText="1"/>
    </xf>
    <xf numFmtId="14" fontId="0" fillId="5" borderId="1" xfId="0" applyNumberForma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38100</xdr:rowOff>
        </xdr:from>
        <xdr:to>
          <xdr:col>4</xdr:col>
          <xdr:colOff>276225</xdr:colOff>
          <xdr:row>4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 une entrée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6</xdr:row>
          <xdr:rowOff>28575</xdr:rowOff>
        </xdr:from>
        <xdr:to>
          <xdr:col>0</xdr:col>
          <xdr:colOff>990600</xdr:colOff>
          <xdr:row>7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Ajouter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87.592159490741" createdVersion="4" refreshedVersion="4" minRefreshableVersion="3" recordCount="1">
  <cacheSource type="worksheet">
    <worksheetSource ref="A6:F51" sheet="Journal"/>
  </cacheSource>
  <cacheFields count="4">
    <cacheField name="Jour" numFmtId="16">
      <sharedItems containsSemiMixedTypes="0" containsNonDate="0" containsDate="1" containsString="0" minDate="2018-01-01T00:00:00" maxDate="2018-04-05T00:00:00" count="4">
        <d v="2018-01-01T00:00:00"/>
        <d v="2018-02-02T00:00:00" u="1"/>
        <d v="2018-03-03T00:00:00" u="1"/>
        <d v="2018-04-04T00:00:00" u="1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1" maxValue="1"/>
    </cacheField>
    <cacheField name="Type" numFmtId="0">
      <sharedItems count="4">
        <s v="Analyse"/>
        <s v="Documentation" u="1"/>
        <s v="Tests" u="1"/>
        <s v="Implémentation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n v="1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5">
        <item x="0"/>
        <item m="1" x="1"/>
        <item m="1" x="2"/>
        <item m="1" x="3"/>
        <item t="default"/>
      </items>
    </pivotField>
    <pivotField showAll="0"/>
    <pivotField dataField="1" showAll="0"/>
    <pivotField axis="axisCol" showAll="0">
      <items count="5">
        <item m="1" x="1"/>
        <item m="1" x="3"/>
        <item x="0"/>
        <item m="1" x="2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53"/>
  <sheetViews>
    <sheetView tabSelected="1" zoomScaleNormal="100" workbookViewId="0">
      <selection activeCell="F3" sqref="F3"/>
    </sheetView>
  </sheetViews>
  <sheetFormatPr baseColWidth="10" defaultColWidth="9.140625" defaultRowHeight="15" x14ac:dyDescent="0.25"/>
  <cols>
    <col min="1" max="1" width="10.5703125" style="20" bestFit="1" customWidth="1"/>
    <col min="2" max="2" width="9.28515625" style="11" bestFit="1" customWidth="1"/>
    <col min="3" max="3" width="9.5703125" style="11" bestFit="1" customWidth="1"/>
    <col min="4" max="4" width="9.28515625" style="11" bestFit="1" customWidth="1"/>
    <col min="5" max="5" width="10.28515625" style="9" customWidth="1"/>
    <col min="6" max="6" width="15.85546875" style="6" customWidth="1"/>
    <col min="7" max="7" width="84.85546875" style="19" bestFit="1" customWidth="1"/>
    <col min="8" max="8" width="75.140625" style="19" customWidth="1"/>
    <col min="9" max="16384" width="9.140625" style="18"/>
  </cols>
  <sheetData>
    <row r="1" spans="1:9" s="12" customFormat="1" ht="14.1" customHeight="1" x14ac:dyDescent="0.2">
      <c r="A1" s="28" t="s">
        <v>22</v>
      </c>
      <c r="B1" s="28"/>
      <c r="C1" s="28"/>
      <c r="D1" s="28"/>
      <c r="E1" s="28"/>
      <c r="F1" s="28"/>
      <c r="G1" s="28"/>
      <c r="H1" s="28"/>
    </row>
    <row r="2" spans="1:9" s="12" customFormat="1" ht="14.25" x14ac:dyDescent="0.2">
      <c r="A2" s="28"/>
      <c r="B2" s="28"/>
      <c r="C2" s="28"/>
      <c r="D2" s="28"/>
      <c r="E2" s="28"/>
      <c r="F2" s="28"/>
      <c r="G2" s="28"/>
      <c r="H2" s="28"/>
    </row>
    <row r="3" spans="1:9" s="12" customFormat="1" ht="24.95" customHeight="1" x14ac:dyDescent="0.25">
      <c r="A3"/>
      <c r="G3" s="12" t="s">
        <v>26</v>
      </c>
      <c r="H3" s="13" t="s">
        <v>29</v>
      </c>
    </row>
    <row r="5" spans="1:9" x14ac:dyDescent="0.25">
      <c r="F5" s="6" t="s">
        <v>33</v>
      </c>
      <c r="G5" s="23">
        <f>SUM($E$7:$E$1027)</f>
        <v>1.6874999999999989</v>
      </c>
    </row>
    <row r="6" spans="1:9" ht="24" customHeight="1" x14ac:dyDescent="0.25">
      <c r="A6" s="21" t="s">
        <v>1</v>
      </c>
      <c r="B6" s="10" t="s">
        <v>11</v>
      </c>
      <c r="C6" s="10" t="s">
        <v>14</v>
      </c>
      <c r="D6" s="10" t="s">
        <v>15</v>
      </c>
      <c r="E6" s="7" t="s">
        <v>2</v>
      </c>
      <c r="F6" s="5" t="s">
        <v>3</v>
      </c>
      <c r="G6" s="5" t="s">
        <v>0</v>
      </c>
      <c r="H6" s="5" t="s">
        <v>13</v>
      </c>
    </row>
    <row r="7" spans="1:9" x14ac:dyDescent="0.25">
      <c r="A7" s="27">
        <f>DATE(2023,4,5)</f>
        <v>45021</v>
      </c>
      <c r="B7" s="14">
        <f t="shared" ref="B7" si="0">WEEKNUM(A7)-4</f>
        <v>10</v>
      </c>
      <c r="C7" s="15">
        <v>0.33333333333333331</v>
      </c>
      <c r="D7" s="15">
        <v>0.40972222222222227</v>
      </c>
      <c r="E7" s="16">
        <f>D7-C7-I7</f>
        <v>7.6388888888888951E-2</v>
      </c>
      <c r="F7" s="17" t="s">
        <v>8</v>
      </c>
      <c r="G7" s="8" t="s">
        <v>84</v>
      </c>
      <c r="H7" s="8" t="s">
        <v>83</v>
      </c>
      <c r="I7" s="24"/>
    </row>
    <row r="8" spans="1:9" ht="30" x14ac:dyDescent="0.25">
      <c r="A8" s="27">
        <f>DATE(2023,4,4)</f>
        <v>45020</v>
      </c>
      <c r="B8" s="14">
        <f t="shared" ref="B8" si="1">WEEKNUM(A8)-4</f>
        <v>10</v>
      </c>
      <c r="C8" s="15">
        <v>0.5625</v>
      </c>
      <c r="D8" s="15">
        <v>0.60416666666666663</v>
      </c>
      <c r="E8" s="16">
        <f>D8-C8-I8</f>
        <v>4.166666666666663E-2</v>
      </c>
      <c r="F8" s="17" t="s">
        <v>6</v>
      </c>
      <c r="G8" s="8" t="s">
        <v>81</v>
      </c>
      <c r="H8" s="8" t="s">
        <v>82</v>
      </c>
      <c r="I8" s="24"/>
    </row>
    <row r="9" spans="1:9" x14ac:dyDescent="0.25">
      <c r="A9" s="27">
        <f>DATE(2023,4,2)</f>
        <v>45018</v>
      </c>
      <c r="B9" s="14">
        <f t="shared" ref="B9" si="2">WEEKNUM(A9)-4</f>
        <v>10</v>
      </c>
      <c r="C9" s="15">
        <v>0.72916666666666663</v>
      </c>
      <c r="D9" s="15">
        <v>0.78125</v>
      </c>
      <c r="E9" s="16">
        <f t="shared" ref="E9:E17" si="3">D9-C9-I9</f>
        <v>5.208333333333337E-2</v>
      </c>
      <c r="F9" s="17" t="s">
        <v>8</v>
      </c>
      <c r="G9" s="8" t="s">
        <v>79</v>
      </c>
      <c r="H9" s="8" t="s">
        <v>80</v>
      </c>
      <c r="I9" s="24"/>
    </row>
    <row r="10" spans="1:9" ht="30" x14ac:dyDescent="0.25">
      <c r="A10" s="27">
        <f>DATE(2023,4,2)</f>
        <v>45018</v>
      </c>
      <c r="B10" s="14">
        <f t="shared" ref="B10" si="4">WEEKNUM(A10)-4</f>
        <v>10</v>
      </c>
      <c r="C10" s="15">
        <v>0.69791666666666663</v>
      </c>
      <c r="D10" s="15">
        <v>0.70833333333333337</v>
      </c>
      <c r="E10" s="16">
        <f t="shared" si="3"/>
        <v>1.0416666666666741E-2</v>
      </c>
      <c r="F10" s="17" t="s">
        <v>6</v>
      </c>
      <c r="G10" s="8" t="s">
        <v>77</v>
      </c>
      <c r="H10" s="8" t="s">
        <v>78</v>
      </c>
      <c r="I10" s="24"/>
    </row>
    <row r="11" spans="1:9" ht="30" x14ac:dyDescent="0.25">
      <c r="A11" s="27">
        <f>DATE(2023,4,2)</f>
        <v>45018</v>
      </c>
      <c r="B11" s="14">
        <f t="shared" ref="B11" si="5">WEEKNUM(A11)-4</f>
        <v>10</v>
      </c>
      <c r="C11" s="15">
        <v>0.66666666666666663</v>
      </c>
      <c r="D11" s="15">
        <v>0.69791666666666663</v>
      </c>
      <c r="E11" s="16">
        <f t="shared" si="3"/>
        <v>3.125E-2</v>
      </c>
      <c r="F11" s="17" t="s">
        <v>6</v>
      </c>
      <c r="G11" s="8" t="s">
        <v>75</v>
      </c>
      <c r="H11" s="8" t="s">
        <v>76</v>
      </c>
      <c r="I11" s="24"/>
    </row>
    <row r="12" spans="1:9" ht="30" x14ac:dyDescent="0.25">
      <c r="A12" s="27">
        <f>DATE(2023,4,2)</f>
        <v>45018</v>
      </c>
      <c r="B12" s="14">
        <f t="shared" ref="B12" si="6">WEEKNUM(A12)-4</f>
        <v>10</v>
      </c>
      <c r="C12" s="15">
        <v>0.64583333333333337</v>
      </c>
      <c r="D12" s="15">
        <v>0.66666666666666663</v>
      </c>
      <c r="E12" s="16">
        <f t="shared" si="3"/>
        <v>2.0833333333333259E-2</v>
      </c>
      <c r="F12" s="17" t="s">
        <v>6</v>
      </c>
      <c r="G12" s="8" t="s">
        <v>74</v>
      </c>
      <c r="H12" s="8" t="s">
        <v>73</v>
      </c>
      <c r="I12" s="24"/>
    </row>
    <row r="13" spans="1:9" x14ac:dyDescent="0.25">
      <c r="A13" s="27">
        <f>DATE(2023,3,31)</f>
        <v>45016</v>
      </c>
      <c r="B13" s="14">
        <f t="shared" ref="B13" si="7">WEEKNUM(A13)-4</f>
        <v>9</v>
      </c>
      <c r="C13" s="15">
        <v>0.61805555555555558</v>
      </c>
      <c r="D13" s="15">
        <v>0.62847222222222221</v>
      </c>
      <c r="E13" s="16">
        <f t="shared" si="3"/>
        <v>1.041666666666663E-2</v>
      </c>
      <c r="F13" s="17" t="s">
        <v>6</v>
      </c>
      <c r="G13" s="8" t="s">
        <v>71</v>
      </c>
      <c r="H13" s="8" t="s">
        <v>72</v>
      </c>
      <c r="I13" s="24"/>
    </row>
    <row r="14" spans="1:9" x14ac:dyDescent="0.25">
      <c r="A14" s="27">
        <f>DATE(2023,3,31)</f>
        <v>45016</v>
      </c>
      <c r="B14" s="14">
        <f t="shared" ref="B14" si="8">WEEKNUM(A14)-4</f>
        <v>9</v>
      </c>
      <c r="C14" s="15">
        <v>0.59375</v>
      </c>
      <c r="D14" s="15">
        <v>0.61805555555555558</v>
      </c>
      <c r="E14" s="16">
        <f t="shared" si="3"/>
        <v>2.430555555555558E-2</v>
      </c>
      <c r="F14" s="17" t="s">
        <v>6</v>
      </c>
      <c r="G14" s="8" t="s">
        <v>70</v>
      </c>
      <c r="H14" s="8" t="s">
        <v>43</v>
      </c>
      <c r="I14" s="24"/>
    </row>
    <row r="15" spans="1:9" ht="30" x14ac:dyDescent="0.25">
      <c r="A15" s="27">
        <f>DATE(2023,3,31)</f>
        <v>45016</v>
      </c>
      <c r="B15" s="14">
        <f t="shared" ref="B15" si="9">WEEKNUM(A15)-4</f>
        <v>9</v>
      </c>
      <c r="C15" s="15">
        <v>0.35416666666666669</v>
      </c>
      <c r="D15" s="15">
        <v>0.39930555555555558</v>
      </c>
      <c r="E15" s="16">
        <f t="shared" si="3"/>
        <v>4.5138888888888895E-2</v>
      </c>
      <c r="F15" s="17" t="s">
        <v>6</v>
      </c>
      <c r="G15" s="8" t="s">
        <v>68</v>
      </c>
      <c r="H15" s="8" t="s">
        <v>69</v>
      </c>
      <c r="I15" s="24"/>
    </row>
    <row r="16" spans="1:9" ht="15" customHeight="1" x14ac:dyDescent="0.25">
      <c r="A16" s="27">
        <f>DATE(2023,3,30)</f>
        <v>45015</v>
      </c>
      <c r="B16" s="14">
        <f t="shared" ref="B16" si="10">WEEKNUM(A16)-4</f>
        <v>9</v>
      </c>
      <c r="C16" s="15">
        <v>0.47222222222222227</v>
      </c>
      <c r="D16" s="15">
        <v>0.51041666666666663</v>
      </c>
      <c r="E16" s="16">
        <f t="shared" si="3"/>
        <v>3.8194444444444364E-2</v>
      </c>
      <c r="F16" s="17" t="s">
        <v>6</v>
      </c>
      <c r="G16" s="8" t="s">
        <v>66</v>
      </c>
      <c r="H16" s="8" t="s">
        <v>67</v>
      </c>
      <c r="I16" s="24"/>
    </row>
    <row r="17" spans="1:9" ht="29.25" customHeight="1" x14ac:dyDescent="0.25">
      <c r="A17" s="27">
        <f>DATE(2023,3,30)</f>
        <v>45015</v>
      </c>
      <c r="B17" s="14">
        <f t="shared" ref="B17" si="11">WEEKNUM(A17)-4</f>
        <v>9</v>
      </c>
      <c r="C17" s="15">
        <v>0.375</v>
      </c>
      <c r="D17" s="15">
        <v>0.47222222222222227</v>
      </c>
      <c r="E17" s="16">
        <f t="shared" si="3"/>
        <v>8.6805555555555594E-2</v>
      </c>
      <c r="F17" s="17" t="s">
        <v>8</v>
      </c>
      <c r="G17" s="8" t="s">
        <v>64</v>
      </c>
      <c r="H17" s="8" t="s">
        <v>65</v>
      </c>
      <c r="I17" s="15">
        <v>1.0416666666666666E-2</v>
      </c>
    </row>
    <row r="18" spans="1:9" ht="29.25" customHeight="1" x14ac:dyDescent="0.25">
      <c r="A18" s="27">
        <f>DATE(2023,3,24)</f>
        <v>45009</v>
      </c>
      <c r="B18" s="14">
        <f t="shared" ref="B18" si="12">WEEKNUM(A18)-4</f>
        <v>8</v>
      </c>
      <c r="C18" s="15">
        <v>0.5625</v>
      </c>
      <c r="D18" s="15">
        <v>0.625</v>
      </c>
      <c r="E18" s="16">
        <f>D18-C18</f>
        <v>6.25E-2</v>
      </c>
      <c r="F18" s="17" t="s">
        <v>6</v>
      </c>
      <c r="G18" s="8" t="s">
        <v>62</v>
      </c>
      <c r="H18" s="8" t="s">
        <v>63</v>
      </c>
      <c r="I18" s="24"/>
    </row>
    <row r="19" spans="1:9" ht="29.25" customHeight="1" x14ac:dyDescent="0.25">
      <c r="A19" s="27">
        <f>DATE(2023,3,24)</f>
        <v>45009</v>
      </c>
      <c r="B19" s="14">
        <f t="shared" ref="B19" si="13">WEEKNUM(A19)-4</f>
        <v>8</v>
      </c>
      <c r="C19" s="15">
        <v>0.35416666666666669</v>
      </c>
      <c r="D19" s="15">
        <v>0.39930555555555558</v>
      </c>
      <c r="E19" s="16">
        <f>D19-C19</f>
        <v>4.5138888888888895E-2</v>
      </c>
      <c r="F19" s="17" t="s">
        <v>6</v>
      </c>
      <c r="G19" s="8" t="s">
        <v>60</v>
      </c>
      <c r="H19" s="8" t="s">
        <v>61</v>
      </c>
      <c r="I19" s="24"/>
    </row>
    <row r="20" spans="1:9" ht="14.45" customHeight="1" x14ac:dyDescent="0.25">
      <c r="A20" s="27">
        <f>DATE(2023,3,23)</f>
        <v>45008</v>
      </c>
      <c r="B20" s="14">
        <f t="shared" ref="B20" si="14">WEEKNUM(A20)-4</f>
        <v>8</v>
      </c>
      <c r="C20" s="15">
        <v>0.48958333333333331</v>
      </c>
      <c r="D20" s="15">
        <v>0.51041666666666663</v>
      </c>
      <c r="E20" s="16">
        <f>D20-C20</f>
        <v>2.0833333333333315E-2</v>
      </c>
      <c r="F20" s="17" t="s">
        <v>6</v>
      </c>
      <c r="G20" s="8" t="s">
        <v>58</v>
      </c>
      <c r="H20" s="8" t="s">
        <v>59</v>
      </c>
      <c r="I20" s="24"/>
    </row>
    <row r="21" spans="1:9" ht="14.45" customHeight="1" x14ac:dyDescent="0.25">
      <c r="A21" s="27">
        <f>DATE(2023,3,23)</f>
        <v>45008</v>
      </c>
      <c r="B21" s="14">
        <f t="shared" ref="B21" si="15">WEEKNUM(A21)-4</f>
        <v>8</v>
      </c>
      <c r="C21" s="15">
        <v>0.4375</v>
      </c>
      <c r="D21" s="15">
        <v>0.48958333333333331</v>
      </c>
      <c r="E21" s="16">
        <f>D21-C21</f>
        <v>5.2083333333333315E-2</v>
      </c>
      <c r="F21" s="17" t="s">
        <v>8</v>
      </c>
      <c r="G21" s="8" t="s">
        <v>56</v>
      </c>
      <c r="H21" s="8" t="s">
        <v>57</v>
      </c>
      <c r="I21" s="24"/>
    </row>
    <row r="22" spans="1:9" ht="14.45" customHeight="1" x14ac:dyDescent="0.25">
      <c r="A22" s="27">
        <f>DATE(2023,3,23)</f>
        <v>45008</v>
      </c>
      <c r="B22" s="14">
        <f t="shared" ref="B22" si="16">WEEKNUM(A22)-4</f>
        <v>8</v>
      </c>
      <c r="C22" s="15">
        <v>0.375</v>
      </c>
      <c r="D22" s="15">
        <v>0.4375</v>
      </c>
      <c r="E22" s="16">
        <f>D22-C22-I22</f>
        <v>5.2083333333333336E-2</v>
      </c>
      <c r="F22" s="17" t="s">
        <v>8</v>
      </c>
      <c r="G22" s="8" t="s">
        <v>53</v>
      </c>
      <c r="H22" s="8" t="s">
        <v>55</v>
      </c>
      <c r="I22" s="15">
        <v>1.0416666666666666E-2</v>
      </c>
    </row>
    <row r="23" spans="1:9" ht="14.45" customHeight="1" x14ac:dyDescent="0.25">
      <c r="A23" s="26">
        <f>DATE(2023,3,17)</f>
        <v>45002</v>
      </c>
      <c r="B23" s="14">
        <f t="shared" ref="B23" si="17">WEEKNUM(A23)-4</f>
        <v>7</v>
      </c>
      <c r="C23" s="15">
        <v>0.58333333333333337</v>
      </c>
      <c r="D23" s="15">
        <v>0.62847222222222221</v>
      </c>
      <c r="E23" s="16">
        <f t="shared" ref="E23:E28" si="18">D23-C23</f>
        <v>4.513888888888884E-2</v>
      </c>
      <c r="F23" s="17" t="s">
        <v>8</v>
      </c>
      <c r="G23" s="8" t="s">
        <v>53</v>
      </c>
      <c r="H23" s="8" t="s">
        <v>54</v>
      </c>
    </row>
    <row r="24" spans="1:9" ht="14.45" customHeight="1" x14ac:dyDescent="0.25">
      <c r="A24" s="26">
        <f>DATE(2023,3,17)</f>
        <v>45002</v>
      </c>
      <c r="B24" s="14">
        <f t="shared" ref="B24" si="19">WEEKNUM(A24)-4</f>
        <v>7</v>
      </c>
      <c r="C24" s="15">
        <v>0.35416666666666669</v>
      </c>
      <c r="D24" s="15">
        <v>0.39930555555555558</v>
      </c>
      <c r="E24" s="16">
        <f t="shared" si="18"/>
        <v>4.5138888888888895E-2</v>
      </c>
      <c r="F24" s="17" t="s">
        <v>8</v>
      </c>
      <c r="G24" s="8" t="s">
        <v>52</v>
      </c>
      <c r="H24" s="22"/>
    </row>
    <row r="25" spans="1:9" ht="14.45" customHeight="1" x14ac:dyDescent="0.25">
      <c r="A25" s="26">
        <f>DATE(2023,3,16)</f>
        <v>45001</v>
      </c>
      <c r="B25" s="14">
        <f t="shared" ref="B25:B26" si="20">WEEKNUM(A25)-4</f>
        <v>7</v>
      </c>
      <c r="C25" s="15">
        <v>0.46527777777777773</v>
      </c>
      <c r="D25" s="15">
        <v>0.51041666666666663</v>
      </c>
      <c r="E25" s="16">
        <f t="shared" si="18"/>
        <v>4.5138888888888895E-2</v>
      </c>
      <c r="F25" s="17" t="s">
        <v>6</v>
      </c>
      <c r="G25" s="8" t="s">
        <v>51</v>
      </c>
      <c r="H25" s="22"/>
    </row>
    <row r="26" spans="1:9" x14ac:dyDescent="0.25">
      <c r="A26" s="26">
        <f>DATE(2023,3,16)</f>
        <v>45001</v>
      </c>
      <c r="B26" s="14">
        <f t="shared" si="20"/>
        <v>7</v>
      </c>
      <c r="C26" s="15">
        <v>0.40972222222222227</v>
      </c>
      <c r="D26" s="15">
        <v>0.46527777777777773</v>
      </c>
      <c r="E26" s="16">
        <f t="shared" si="18"/>
        <v>5.5555555555555469E-2</v>
      </c>
      <c r="F26" s="17" t="s">
        <v>6</v>
      </c>
      <c r="G26" s="8" t="s">
        <v>49</v>
      </c>
      <c r="H26" s="8" t="s">
        <v>50</v>
      </c>
    </row>
    <row r="27" spans="1:9" ht="14.45" customHeight="1" x14ac:dyDescent="0.25">
      <c r="A27" s="26">
        <f>DATE(2023,3,16)</f>
        <v>45001</v>
      </c>
      <c r="B27" s="14">
        <f t="shared" ref="B27" si="21">WEEKNUM(A27)-4</f>
        <v>7</v>
      </c>
      <c r="C27" s="15">
        <v>0.36458333333333331</v>
      </c>
      <c r="D27" s="15">
        <v>0.39930555555555558</v>
      </c>
      <c r="E27" s="16">
        <f t="shared" si="18"/>
        <v>3.4722222222222265E-2</v>
      </c>
      <c r="F27" s="17" t="s">
        <v>6</v>
      </c>
      <c r="G27" s="8" t="s">
        <v>48</v>
      </c>
      <c r="H27" s="8"/>
    </row>
    <row r="28" spans="1:9" ht="14.45" customHeight="1" x14ac:dyDescent="0.25">
      <c r="A28" s="26">
        <f>DATE(2023,3,14)</f>
        <v>44999</v>
      </c>
      <c r="B28" s="14">
        <f t="shared" ref="B28:B39" si="22">WEEKNUM(A28)-4</f>
        <v>7</v>
      </c>
      <c r="C28" s="15">
        <v>0.85416666666666663</v>
      </c>
      <c r="D28" s="15">
        <v>0.89583333333333337</v>
      </c>
      <c r="E28" s="16">
        <f t="shared" si="18"/>
        <v>4.1666666666666741E-2</v>
      </c>
      <c r="F28" s="17" t="s">
        <v>6</v>
      </c>
      <c r="G28" s="8" t="s">
        <v>47</v>
      </c>
      <c r="H28" s="8" t="s">
        <v>43</v>
      </c>
    </row>
    <row r="29" spans="1:9" ht="14.45" customHeight="1" x14ac:dyDescent="0.25">
      <c r="A29" s="26">
        <f>DATE(2023,3,10)</f>
        <v>44995</v>
      </c>
      <c r="B29" s="14">
        <f t="shared" si="22"/>
        <v>6</v>
      </c>
      <c r="C29" s="15">
        <v>0.60416666666666663</v>
      </c>
      <c r="D29" s="15">
        <v>0.62847222222222221</v>
      </c>
      <c r="E29" s="16">
        <f t="shared" ref="E29:E32" si="23">D29-C29</f>
        <v>2.430555555555558E-2</v>
      </c>
      <c r="F29" s="17" t="s">
        <v>6</v>
      </c>
      <c r="G29" s="8" t="s">
        <v>46</v>
      </c>
      <c r="H29" s="22"/>
    </row>
    <row r="30" spans="1:9" ht="14.45" customHeight="1" x14ac:dyDescent="0.25">
      <c r="A30" s="26">
        <f>DATE(2023,3,10)</f>
        <v>44995</v>
      </c>
      <c r="B30" s="14">
        <f t="shared" si="22"/>
        <v>6</v>
      </c>
      <c r="C30" s="15">
        <v>0.5625</v>
      </c>
      <c r="D30" s="15">
        <v>0.60416666666666663</v>
      </c>
      <c r="E30" s="16">
        <f t="shared" si="23"/>
        <v>4.166666666666663E-2</v>
      </c>
      <c r="F30" s="17" t="s">
        <v>6</v>
      </c>
      <c r="G30" s="8" t="s">
        <v>45</v>
      </c>
      <c r="H30" s="22"/>
    </row>
    <row r="31" spans="1:9" ht="14.45" customHeight="1" x14ac:dyDescent="0.25">
      <c r="A31" s="26">
        <f>DATE(2023,3,10)</f>
        <v>44995</v>
      </c>
      <c r="B31" s="14">
        <f t="shared" si="22"/>
        <v>6</v>
      </c>
      <c r="C31" s="15">
        <v>0.36458333333333331</v>
      </c>
      <c r="D31" s="15">
        <v>0.39930555555555558</v>
      </c>
      <c r="E31" s="16">
        <f t="shared" si="23"/>
        <v>3.4722222222222265E-2</v>
      </c>
      <c r="F31" s="17" t="s">
        <v>8</v>
      </c>
      <c r="G31" s="8" t="s">
        <v>44</v>
      </c>
      <c r="H31" s="22"/>
    </row>
    <row r="32" spans="1:9" x14ac:dyDescent="0.25">
      <c r="A32" s="26">
        <f>DATE(2023,3,9)</f>
        <v>44994</v>
      </c>
      <c r="B32" s="14">
        <f t="shared" si="22"/>
        <v>6</v>
      </c>
      <c r="C32" s="15">
        <v>0.4513888888888889</v>
      </c>
      <c r="D32" s="15">
        <v>0.51041666666666663</v>
      </c>
      <c r="E32" s="16">
        <f t="shared" si="23"/>
        <v>5.9027777777777735E-2</v>
      </c>
      <c r="F32" s="17" t="s">
        <v>6</v>
      </c>
      <c r="G32" s="8" t="s">
        <v>42</v>
      </c>
      <c r="H32" s="8" t="s">
        <v>43</v>
      </c>
    </row>
    <row r="33" spans="1:8" x14ac:dyDescent="0.25">
      <c r="A33" s="26">
        <f>DATE(2023,3,9)</f>
        <v>44994</v>
      </c>
      <c r="B33" s="14">
        <f t="shared" si="22"/>
        <v>6</v>
      </c>
      <c r="C33" s="15">
        <v>0.4375</v>
      </c>
      <c r="D33" s="15">
        <v>0.4513888888888889</v>
      </c>
      <c r="E33" s="16">
        <f t="shared" ref="E33" si="24">D33-C33</f>
        <v>1.3888888888888895E-2</v>
      </c>
      <c r="F33" s="17" t="s">
        <v>8</v>
      </c>
      <c r="G33" s="8" t="s">
        <v>40</v>
      </c>
      <c r="H33" s="8"/>
    </row>
    <row r="34" spans="1:8" ht="30" x14ac:dyDescent="0.25">
      <c r="A34" s="26">
        <f>DATE(2023,3,9)</f>
        <v>44994</v>
      </c>
      <c r="B34" s="14">
        <f t="shared" si="22"/>
        <v>6</v>
      </c>
      <c r="C34" s="15">
        <v>0.40972222222222227</v>
      </c>
      <c r="D34" s="15">
        <v>0.4375</v>
      </c>
      <c r="E34" s="16">
        <f t="shared" ref="E34" si="25">D34-C34</f>
        <v>2.7777777777777735E-2</v>
      </c>
      <c r="F34" s="17" t="s">
        <v>8</v>
      </c>
      <c r="G34" s="8" t="s">
        <v>39</v>
      </c>
      <c r="H34" s="8" t="s">
        <v>41</v>
      </c>
    </row>
    <row r="35" spans="1:8" x14ac:dyDescent="0.25">
      <c r="A35" s="26">
        <f>DATE(2023,3,9)</f>
        <v>44994</v>
      </c>
      <c r="B35" s="14">
        <f t="shared" si="22"/>
        <v>6</v>
      </c>
      <c r="C35" s="15">
        <v>0.33333333333333331</v>
      </c>
      <c r="D35" s="15">
        <v>0.39930555555555558</v>
      </c>
      <c r="E35" s="16">
        <f t="shared" ref="E35" si="26">D35-C35</f>
        <v>6.5972222222222265E-2</v>
      </c>
      <c r="F35" s="17" t="s">
        <v>8</v>
      </c>
      <c r="G35" s="8" t="s">
        <v>38</v>
      </c>
      <c r="H35" s="8"/>
    </row>
    <row r="36" spans="1:8" x14ac:dyDescent="0.25">
      <c r="A36" s="26">
        <f>DATE(2023,3,3)</f>
        <v>44988</v>
      </c>
      <c r="B36" s="14">
        <f t="shared" si="22"/>
        <v>5</v>
      </c>
      <c r="C36" s="15">
        <v>0.58333333333333337</v>
      </c>
      <c r="D36" s="15">
        <v>0.625</v>
      </c>
      <c r="E36" s="16">
        <f t="shared" ref="E36" si="27">D36-C36</f>
        <v>4.166666666666663E-2</v>
      </c>
      <c r="F36" s="17" t="s">
        <v>6</v>
      </c>
      <c r="G36" s="8" t="s">
        <v>37</v>
      </c>
      <c r="H36" s="8"/>
    </row>
    <row r="37" spans="1:8" x14ac:dyDescent="0.25">
      <c r="A37" s="26">
        <f>DATE(2023,3,3)</f>
        <v>44988</v>
      </c>
      <c r="B37" s="14">
        <f t="shared" si="22"/>
        <v>5</v>
      </c>
      <c r="C37" s="15">
        <v>0.36458333333333331</v>
      </c>
      <c r="D37" s="15">
        <v>0.39930555555555558</v>
      </c>
      <c r="E37" s="16">
        <f t="shared" ref="E37" si="28">D37-C37</f>
        <v>3.4722222222222265E-2</v>
      </c>
      <c r="F37" s="17" t="s">
        <v>6</v>
      </c>
      <c r="G37" s="8" t="s">
        <v>36</v>
      </c>
      <c r="H37" s="8"/>
    </row>
    <row r="38" spans="1:8" x14ac:dyDescent="0.25">
      <c r="A38" s="26">
        <f>DATE(2023,3,2)</f>
        <v>44987</v>
      </c>
      <c r="B38" s="14">
        <f t="shared" si="22"/>
        <v>5</v>
      </c>
      <c r="C38" s="15">
        <v>0.47916666666666669</v>
      </c>
      <c r="D38" s="15">
        <v>0.51041666666666663</v>
      </c>
      <c r="E38" s="16">
        <f t="shared" ref="E38" si="29">D38-C38</f>
        <v>3.1249999999999944E-2</v>
      </c>
      <c r="F38" s="17" t="s">
        <v>6</v>
      </c>
      <c r="G38" s="8" t="s">
        <v>35</v>
      </c>
      <c r="H38" s="8"/>
    </row>
    <row r="39" spans="1:8" x14ac:dyDescent="0.25">
      <c r="A39" s="26">
        <f>DATE(2023,3,2)</f>
        <v>44987</v>
      </c>
      <c r="B39" s="14">
        <f t="shared" si="22"/>
        <v>5</v>
      </c>
      <c r="C39" s="15">
        <v>0.36805555555555558</v>
      </c>
      <c r="D39" s="15">
        <v>0.3888888888888889</v>
      </c>
      <c r="E39" s="16">
        <f t="shared" ref="E39" si="30">D39-C39</f>
        <v>2.0833333333333315E-2</v>
      </c>
      <c r="F39" s="17" t="s">
        <v>8</v>
      </c>
      <c r="G39" s="8" t="s">
        <v>34</v>
      </c>
      <c r="H39" s="8"/>
    </row>
    <row r="40" spans="1:8" x14ac:dyDescent="0.25">
      <c r="A40" s="25">
        <f>DATE(2023,2,24)</f>
        <v>44981</v>
      </c>
      <c r="B40" s="14">
        <f t="shared" ref="B40:B50" si="31">WEEKNUM(A40)-4</f>
        <v>4</v>
      </c>
      <c r="C40" s="15">
        <v>0.57638888888888895</v>
      </c>
      <c r="D40" s="15">
        <v>0.62152777777777779</v>
      </c>
      <c r="E40" s="16">
        <f t="shared" ref="E40" si="32">D40-C40</f>
        <v>4.513888888888884E-2</v>
      </c>
      <c r="F40" s="17" t="s">
        <v>8</v>
      </c>
      <c r="G40" s="8" t="s">
        <v>31</v>
      </c>
      <c r="H40" s="8" t="s">
        <v>32</v>
      </c>
    </row>
    <row r="41" spans="1:8" x14ac:dyDescent="0.25">
      <c r="A41" s="25">
        <f>DATE(2023,2,23)</f>
        <v>44980</v>
      </c>
      <c r="B41" s="14">
        <f t="shared" si="31"/>
        <v>4</v>
      </c>
      <c r="C41" s="15">
        <v>0.46875</v>
      </c>
      <c r="D41" s="15">
        <v>0.51041666666666663</v>
      </c>
      <c r="E41" s="16">
        <f t="shared" ref="E41" si="33">D41-C41</f>
        <v>4.166666666666663E-2</v>
      </c>
      <c r="F41" s="17" t="s">
        <v>5</v>
      </c>
      <c r="G41" s="8" t="s">
        <v>30</v>
      </c>
      <c r="H41" s="8"/>
    </row>
    <row r="42" spans="1:8" x14ac:dyDescent="0.25">
      <c r="A42" s="25">
        <f>DATE(2023,2,23)</f>
        <v>44980</v>
      </c>
      <c r="B42" s="14">
        <f t="shared" si="31"/>
        <v>4</v>
      </c>
      <c r="C42" s="15">
        <v>0.40972222222222227</v>
      </c>
      <c r="D42" s="15">
        <v>0.46527777777777773</v>
      </c>
      <c r="E42" s="16">
        <f t="shared" ref="E42" si="34">D42-C42</f>
        <v>5.5555555555555469E-2</v>
      </c>
      <c r="F42" s="17" t="s">
        <v>8</v>
      </c>
      <c r="G42" s="8" t="s">
        <v>28</v>
      </c>
      <c r="H42" s="8"/>
    </row>
    <row r="43" spans="1:8" x14ac:dyDescent="0.25">
      <c r="A43" s="25">
        <f>DATE(2023,2,9)</f>
        <v>44966</v>
      </c>
      <c r="B43" s="14">
        <f t="shared" si="31"/>
        <v>2</v>
      </c>
      <c r="C43" s="15">
        <v>0.46875</v>
      </c>
      <c r="D43" s="15">
        <v>0.51041666666666663</v>
      </c>
      <c r="E43" s="16">
        <f t="shared" ref="E43" si="35">D43-C43</f>
        <v>4.166666666666663E-2</v>
      </c>
      <c r="F43" s="17" t="s">
        <v>6</v>
      </c>
      <c r="G43" s="8" t="s">
        <v>27</v>
      </c>
      <c r="H43" s="8"/>
    </row>
    <row r="44" spans="1:8" x14ac:dyDescent="0.25">
      <c r="A44" s="25">
        <f>DATE(2023,2,9)</f>
        <v>44966</v>
      </c>
      <c r="B44" s="14">
        <f t="shared" si="31"/>
        <v>2</v>
      </c>
      <c r="C44" s="15">
        <v>0.4375</v>
      </c>
      <c r="D44" s="15">
        <v>0.46875</v>
      </c>
      <c r="E44" s="16">
        <f t="shared" ref="E44:E50" si="36">D44-C44</f>
        <v>3.125E-2</v>
      </c>
      <c r="F44" s="17" t="s">
        <v>6</v>
      </c>
      <c r="G44" s="8" t="s">
        <v>25</v>
      </c>
      <c r="H44" s="8"/>
    </row>
    <row r="45" spans="1:8" x14ac:dyDescent="0.25">
      <c r="A45" s="25">
        <f>DATE(2023,2,9)</f>
        <v>44966</v>
      </c>
      <c r="B45" s="14">
        <f t="shared" si="31"/>
        <v>2</v>
      </c>
      <c r="C45" s="15">
        <v>0.40972222222222227</v>
      </c>
      <c r="D45" s="15">
        <v>0.43402777777777773</v>
      </c>
      <c r="E45" s="16">
        <f t="shared" si="36"/>
        <v>2.4305555555555469E-2</v>
      </c>
      <c r="F45" s="17" t="s">
        <v>8</v>
      </c>
      <c r="G45" s="8" t="s">
        <v>24</v>
      </c>
      <c r="H45" s="8"/>
    </row>
    <row r="46" spans="1:8" x14ac:dyDescent="0.25">
      <c r="A46" s="25">
        <f>DATE(2023,2,9)</f>
        <v>44966</v>
      </c>
      <c r="B46" s="14">
        <f t="shared" si="31"/>
        <v>2</v>
      </c>
      <c r="C46" s="15">
        <v>0.375</v>
      </c>
      <c r="D46" s="15">
        <v>0.39930555555555558</v>
      </c>
      <c r="E46" s="16">
        <f t="shared" si="36"/>
        <v>2.430555555555558E-2</v>
      </c>
      <c r="F46" s="17" t="s">
        <v>8</v>
      </c>
      <c r="G46" s="8" t="s">
        <v>23</v>
      </c>
      <c r="H46" s="8"/>
    </row>
    <row r="47" spans="1:8" x14ac:dyDescent="0.25">
      <c r="A47" s="25">
        <f>DATE(2023,2,3)</f>
        <v>44960</v>
      </c>
      <c r="B47" s="14">
        <f t="shared" si="31"/>
        <v>1</v>
      </c>
      <c r="C47" s="15">
        <v>0.57291666666666663</v>
      </c>
      <c r="D47" s="15">
        <v>0.60416666666666663</v>
      </c>
      <c r="E47" s="16">
        <f t="shared" si="36"/>
        <v>3.125E-2</v>
      </c>
      <c r="F47" s="17" t="s">
        <v>6</v>
      </c>
      <c r="G47" s="8" t="s">
        <v>19</v>
      </c>
      <c r="H47" s="8"/>
    </row>
    <row r="48" spans="1:8" x14ac:dyDescent="0.25">
      <c r="A48" s="25">
        <f>DATE(2023,2,3)</f>
        <v>44960</v>
      </c>
      <c r="B48" s="14">
        <f t="shared" si="31"/>
        <v>1</v>
      </c>
      <c r="C48" s="15">
        <v>0.60763888888888895</v>
      </c>
      <c r="D48" s="15">
        <v>0.625</v>
      </c>
      <c r="E48" s="16">
        <f t="shared" si="36"/>
        <v>1.7361111111111049E-2</v>
      </c>
      <c r="F48" s="17" t="s">
        <v>6</v>
      </c>
      <c r="G48" s="8" t="s">
        <v>20</v>
      </c>
      <c r="H48" s="8"/>
    </row>
    <row r="49" spans="1:8" ht="30" x14ac:dyDescent="0.25">
      <c r="A49" s="25">
        <f>DATE(2023,2,3)</f>
        <v>44960</v>
      </c>
      <c r="B49" s="14">
        <f t="shared" si="31"/>
        <v>1</v>
      </c>
      <c r="C49" s="15">
        <v>0.36458333333333331</v>
      </c>
      <c r="D49" s="15">
        <v>0.39930555555555558</v>
      </c>
      <c r="E49" s="16">
        <f t="shared" si="36"/>
        <v>3.4722222222222265E-2</v>
      </c>
      <c r="F49" s="17" t="s">
        <v>6</v>
      </c>
      <c r="G49" s="8" t="s">
        <v>18</v>
      </c>
      <c r="H49" s="8" t="s">
        <v>21</v>
      </c>
    </row>
    <row r="50" spans="1:8" x14ac:dyDescent="0.25">
      <c r="A50" s="25">
        <f>DATE(2023,2,3)</f>
        <v>44960</v>
      </c>
      <c r="B50" s="14">
        <f t="shared" si="31"/>
        <v>1</v>
      </c>
      <c r="C50" s="15">
        <v>0.35416666666666669</v>
      </c>
      <c r="D50" s="15">
        <v>0.3611111111111111</v>
      </c>
      <c r="E50" s="16">
        <f t="shared" si="36"/>
        <v>6.9444444444444198E-3</v>
      </c>
      <c r="F50" s="17" t="s">
        <v>8</v>
      </c>
      <c r="G50" s="8" t="s">
        <v>16</v>
      </c>
      <c r="H50" s="8" t="s">
        <v>17</v>
      </c>
    </row>
    <row r="51" spans="1:8" x14ac:dyDescent="0.25">
      <c r="A51" s="18"/>
      <c r="B51" s="18"/>
      <c r="C51" s="18"/>
      <c r="D51" s="18"/>
      <c r="E51" s="18"/>
      <c r="F51" s="18"/>
      <c r="G51" s="18"/>
    </row>
    <row r="52" spans="1:8" x14ac:dyDescent="0.25">
      <c r="A52" s="18"/>
      <c r="B52" s="18"/>
      <c r="C52" s="18"/>
      <c r="D52" s="18"/>
      <c r="E52" s="18"/>
      <c r="F52" s="18"/>
      <c r="G52" s="18"/>
    </row>
    <row r="53" spans="1:8" x14ac:dyDescent="0.25">
      <c r="A53" s="18"/>
      <c r="B53" s="18"/>
      <c r="C53" s="18"/>
      <c r="D53" s="18"/>
      <c r="E53" s="18"/>
      <c r="F53" s="18"/>
      <c r="G53" s="18"/>
    </row>
  </sheetData>
  <sheetProtection selectLockedCells="1"/>
  <mergeCells count="1">
    <mergeCell ref="A1:H2"/>
  </mergeCells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NewTaskType">
                <anchor moveWithCells="1" sizeWithCells="1">
                  <from>
                    <xdr:col>0</xdr:col>
                    <xdr:colOff>0</xdr:colOff>
                    <xdr:row>3</xdr:row>
                    <xdr:rowOff>38100</xdr:rowOff>
                  </from>
                  <to>
                    <xdr:col>4</xdr:col>
                    <xdr:colOff>276225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F7:F50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B6" sqref="B6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bestFit="1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12</v>
      </c>
    </row>
    <row r="4" spans="1:3" x14ac:dyDescent="0.25">
      <c r="B4" t="s">
        <v>5</v>
      </c>
      <c r="C4" t="s">
        <v>10</v>
      </c>
    </row>
    <row r="5" spans="1:3" x14ac:dyDescent="0.25">
      <c r="A5" s="4">
        <v>43101</v>
      </c>
      <c r="B5">
        <v>1</v>
      </c>
      <c r="C5">
        <v>1</v>
      </c>
    </row>
    <row r="6" spans="1:3" x14ac:dyDescent="0.25">
      <c r="A6" s="4" t="s">
        <v>10</v>
      </c>
      <c r="B6">
        <v>1</v>
      </c>
      <c r="C6"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C11" sqref="C11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4</v>
      </c>
    </row>
    <row r="2" spans="1:1" x14ac:dyDescent="0.25">
      <c r="A2" s="1" t="s">
        <v>5</v>
      </c>
    </row>
    <row r="3" spans="1:1" x14ac:dyDescent="0.25">
      <c r="A3" s="1" t="s">
        <v>6</v>
      </c>
    </row>
    <row r="4" spans="1:1" x14ac:dyDescent="0.25">
      <c r="A4" s="1" t="s">
        <v>7</v>
      </c>
    </row>
    <row r="5" spans="1:1" x14ac:dyDescent="0.25">
      <c r="A5" s="1" t="s">
        <v>8</v>
      </c>
    </row>
    <row r="6" spans="1:1" x14ac:dyDescent="0.25">
      <c r="A6" s="1" t="s">
        <v>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autoFill="0" autoPict="0" macro="[0]!NewTaskType">
                <anchor moveWithCells="1" sizeWithCells="1">
                  <from>
                    <xdr:col>0</xdr:col>
                    <xdr:colOff>9525</xdr:colOff>
                    <xdr:row>6</xdr:row>
                    <xdr:rowOff>28575</xdr:rowOff>
                  </from>
                  <to>
                    <xdr:col>0</xdr:col>
                    <xdr:colOff>990600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Journal</vt:lpstr>
      <vt:lpstr>Totaux</vt:lpstr>
      <vt:lpstr>Paramètres</vt:lpstr>
      <vt:lpstr>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2023-04-04T12:34:20Z</dcterms:modified>
</cp:coreProperties>
</file>